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zh\DA_Docs\DataAnalyticsSec12\"/>
    </mc:Choice>
  </mc:AlternateContent>
  <xr:revisionPtr revIDLastSave="0" documentId="8_{6138CB27-7A59-4C1F-8BF3-70BCE1CB155E}" xr6:coauthVersionLast="47" xr6:coauthVersionMax="47" xr10:uidLastSave="{00000000-0000-0000-0000-000000000000}"/>
  <bookViews>
    <workbookView xWindow="-19310" yWindow="-5560" windowWidth="19420" windowHeight="10300" activeTab="1" xr2:uid="{2C9826A1-1C1C-46B8-B2A6-E44E436F0BC0}"/>
  </bookViews>
  <sheets>
    <sheet name="Inventory" sheetId="1" r:id="rId1"/>
    <sheet name="Customer" sheetId="2" r:id="rId2"/>
    <sheet name="Purchases" sheetId="3" r:id="rId3"/>
    <sheet name="TicketInf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2" i="2"/>
  <c r="G4" i="3"/>
  <c r="G3" i="3"/>
  <c r="G2" i="3"/>
</calcChain>
</file>

<file path=xl/sharedStrings.xml><?xml version="1.0" encoding="utf-8"?>
<sst xmlns="http://schemas.openxmlformats.org/spreadsheetml/2006/main" count="54" uniqueCount="40">
  <si>
    <t>Year</t>
  </si>
  <si>
    <t>Refurbished?</t>
  </si>
  <si>
    <t>Price</t>
  </si>
  <si>
    <t>InventoryID</t>
  </si>
  <si>
    <t>Brand</t>
  </si>
  <si>
    <t>John Deere</t>
  </si>
  <si>
    <t>Yes</t>
  </si>
  <si>
    <t>Toro</t>
  </si>
  <si>
    <t>No</t>
  </si>
  <si>
    <t>Little Wonder</t>
  </si>
  <si>
    <t>Sold?</t>
  </si>
  <si>
    <t>Horsepower</t>
  </si>
  <si>
    <t>class a</t>
  </si>
  <si>
    <t>class b</t>
  </si>
  <si>
    <t>class c</t>
  </si>
  <si>
    <t>CustomerID</t>
  </si>
  <si>
    <t>Address</t>
  </si>
  <si>
    <t>City</t>
  </si>
  <si>
    <t>State</t>
  </si>
  <si>
    <t>Zip</t>
  </si>
  <si>
    <t>Phone</t>
  </si>
  <si>
    <t>Email</t>
  </si>
  <si>
    <t>Preferred Contact Method?</t>
  </si>
  <si>
    <t>Name</t>
  </si>
  <si>
    <t>John Doe</t>
  </si>
  <si>
    <t>123 Maple St</t>
  </si>
  <si>
    <t>Normal</t>
  </si>
  <si>
    <t>IL</t>
  </si>
  <si>
    <t>johnd@normaltrucking.com</t>
  </si>
  <si>
    <t>a01</t>
  </si>
  <si>
    <t># of Purchases</t>
  </si>
  <si>
    <t>Purchase Date</t>
  </si>
  <si>
    <t>Return Policy</t>
  </si>
  <si>
    <t>Quantity</t>
  </si>
  <si>
    <t>InvoiceID</t>
  </si>
  <si>
    <t>Inventory ID</t>
  </si>
  <si>
    <t>Subtotal</t>
  </si>
  <si>
    <t>Sarah Smith</t>
  </si>
  <si>
    <t>111 Orlando</t>
  </si>
  <si>
    <t>Placeville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</si>
</sst>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d@normaltruck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4403-4105-4DE7-AA85-98B206C6109D}">
  <dimension ref="A1:G5"/>
  <sheetViews>
    <sheetView workbookViewId="0">
      <selection activeCell="A5" sqref="A5"/>
    </sheetView>
  </sheetViews>
  <sheetFormatPr defaultRowHeight="15" x14ac:dyDescent="0.25"/>
  <cols>
    <col min="1" max="1" width="10.85546875" bestFit="1" customWidth="1"/>
    <col min="2" max="2" width="17.5703125" bestFit="1" customWidth="1"/>
    <col min="4" max="4" width="12.5703125" bestFit="1" customWidth="1"/>
    <col min="7" max="7" width="11.5703125" bestFit="1" customWidth="1"/>
  </cols>
  <sheetData>
    <row r="1" spans="1:7" x14ac:dyDescent="0.25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10</v>
      </c>
      <c r="G1" t="s">
        <v>11</v>
      </c>
    </row>
    <row r="2" spans="1:7" x14ac:dyDescent="0.25">
      <c r="A2">
        <v>1</v>
      </c>
      <c r="B2" t="s">
        <v>5</v>
      </c>
      <c r="C2">
        <v>2021</v>
      </c>
      <c r="D2" t="s">
        <v>6</v>
      </c>
      <c r="E2">
        <v>1200</v>
      </c>
      <c r="F2" t="s">
        <v>8</v>
      </c>
      <c r="G2" t="s">
        <v>12</v>
      </c>
    </row>
    <row r="3" spans="1:7" x14ac:dyDescent="0.25">
      <c r="A3">
        <v>2</v>
      </c>
      <c r="B3" t="s">
        <v>7</v>
      </c>
      <c r="C3">
        <v>2026</v>
      </c>
      <c r="D3" t="s">
        <v>8</v>
      </c>
      <c r="E3">
        <v>1800</v>
      </c>
      <c r="F3" t="s">
        <v>8</v>
      </c>
      <c r="G3" t="s">
        <v>13</v>
      </c>
    </row>
    <row r="4" spans="1:7" x14ac:dyDescent="0.25">
      <c r="A4">
        <v>3</v>
      </c>
      <c r="B4" t="s">
        <v>9</v>
      </c>
      <c r="C4">
        <v>2025</v>
      </c>
      <c r="D4" t="s">
        <v>8</v>
      </c>
      <c r="E4">
        <v>1800</v>
      </c>
      <c r="F4" t="s">
        <v>6</v>
      </c>
      <c r="G4" t="s">
        <v>14</v>
      </c>
    </row>
    <row r="5" spans="1:7" x14ac:dyDescent="0.25">
      <c r="A5" t="s">
        <v>29</v>
      </c>
      <c r="B5" t="s">
        <v>7</v>
      </c>
      <c r="C5">
        <v>2020</v>
      </c>
      <c r="D5" t="s">
        <v>8</v>
      </c>
      <c r="E5">
        <v>800</v>
      </c>
      <c r="F5" t="s">
        <v>6</v>
      </c>
      <c r="G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FC25-CA34-4900-A961-796BCE420BF4}">
  <dimension ref="A1:J3"/>
  <sheetViews>
    <sheetView tabSelected="1" workbookViewId="0">
      <selection activeCell="A3" sqref="A3"/>
    </sheetView>
  </sheetViews>
  <sheetFormatPr defaultRowHeight="15" x14ac:dyDescent="0.25"/>
  <cols>
    <col min="1" max="1" width="11.28515625" bestFit="1" customWidth="1"/>
    <col min="2" max="2" width="11.28515625" customWidth="1"/>
    <col min="7" max="7" width="11.42578125" bestFit="1" customWidth="1"/>
  </cols>
  <sheetData>
    <row r="1" spans="1:10" x14ac:dyDescent="0.25">
      <c r="A1" t="s">
        <v>15</v>
      </c>
      <c r="B1" t="s">
        <v>23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30</v>
      </c>
    </row>
    <row r="2" spans="1:10" x14ac:dyDescent="0.25">
      <c r="A2">
        <v>1</v>
      </c>
      <c r="B2" t="s">
        <v>24</v>
      </c>
      <c r="C2" t="s">
        <v>25</v>
      </c>
      <c r="D2" t="s">
        <v>26</v>
      </c>
      <c r="E2" t="s">
        <v>27</v>
      </c>
      <c r="F2">
        <v>65445</v>
      </c>
      <c r="G2">
        <v>6302341234</v>
      </c>
      <c r="H2" s="2" t="s">
        <v>28</v>
      </c>
      <c r="I2" t="s">
        <v>21</v>
      </c>
      <c r="J2">
        <f>COUNTIF(Purchases!C:C,Customer!A2)</f>
        <v>2</v>
      </c>
    </row>
    <row r="3" spans="1:10" x14ac:dyDescent="0.25">
      <c r="A3">
        <v>2</v>
      </c>
      <c r="B3" t="s">
        <v>37</v>
      </c>
      <c r="C3" t="s">
        <v>38</v>
      </c>
      <c r="D3" t="s">
        <v>39</v>
      </c>
      <c r="E3" t="s">
        <v>27</v>
      </c>
      <c r="F3">
        <v>67808</v>
      </c>
      <c r="G3">
        <v>6302567894</v>
      </c>
      <c r="I3" t="s">
        <v>20</v>
      </c>
      <c r="J3">
        <f>COUNTIF(Purchases!C:C,Customer!A3)</f>
        <v>1</v>
      </c>
    </row>
  </sheetData>
  <hyperlinks>
    <hyperlink ref="H2" r:id="rId1" xr:uid="{EE5F0901-EE74-41DA-8F17-CBE0D9441EC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D5CC-2CEA-4D00-81B5-51F9EA09B81D}">
  <dimension ref="A1:G4"/>
  <sheetViews>
    <sheetView workbookViewId="0">
      <selection activeCell="B15" sqref="B14:B15"/>
    </sheetView>
  </sheetViews>
  <sheetFormatPr defaultRowHeight="15" x14ac:dyDescent="0.25"/>
  <cols>
    <col min="2" max="2" width="13.85546875" bestFit="1" customWidth="1"/>
    <col min="3" max="3" width="15.28515625" bestFit="1" customWidth="1"/>
    <col min="4" max="4" width="11.28515625" bestFit="1" customWidth="1"/>
    <col min="5" max="5" width="8.42578125" bestFit="1" customWidth="1"/>
    <col min="6" max="6" width="5.42578125" bestFit="1" customWidth="1"/>
  </cols>
  <sheetData>
    <row r="1" spans="1:7" x14ac:dyDescent="0.25">
      <c r="A1" t="s">
        <v>34</v>
      </c>
      <c r="B1" t="s">
        <v>31</v>
      </c>
      <c r="C1" t="s">
        <v>15</v>
      </c>
      <c r="D1" t="s">
        <v>35</v>
      </c>
      <c r="E1" t="s">
        <v>33</v>
      </c>
      <c r="F1" t="s">
        <v>2</v>
      </c>
      <c r="G1" t="s">
        <v>36</v>
      </c>
    </row>
    <row r="2" spans="1:7" x14ac:dyDescent="0.25">
      <c r="A2">
        <v>1000</v>
      </c>
      <c r="B2" s="1">
        <v>45971</v>
      </c>
      <c r="C2">
        <v>1</v>
      </c>
      <c r="D2">
        <v>3</v>
      </c>
      <c r="E2">
        <v>1</v>
      </c>
      <c r="F2">
        <v>1800</v>
      </c>
      <c r="G2">
        <f>F2*E2</f>
        <v>1800</v>
      </c>
    </row>
    <row r="3" spans="1:7" x14ac:dyDescent="0.25">
      <c r="A3">
        <v>654</v>
      </c>
      <c r="B3" s="1">
        <v>44367</v>
      </c>
      <c r="C3">
        <v>1</v>
      </c>
      <c r="D3" t="s">
        <v>29</v>
      </c>
      <c r="E3">
        <v>1</v>
      </c>
      <c r="F3">
        <v>800</v>
      </c>
      <c r="G3">
        <f>F3*E3</f>
        <v>800</v>
      </c>
    </row>
    <row r="4" spans="1:7" x14ac:dyDescent="0.25">
      <c r="A4">
        <v>1020</v>
      </c>
      <c r="B4" s="1">
        <v>45974</v>
      </c>
      <c r="C4">
        <v>2</v>
      </c>
      <c r="D4">
        <v>4</v>
      </c>
      <c r="E4">
        <v>4</v>
      </c>
      <c r="F4">
        <v>10</v>
      </c>
      <c r="G4">
        <f>F4*E4</f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A66A-5233-476E-917A-97D8E2CC5BE5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Customer</vt:lpstr>
      <vt:lpstr>Purchases</vt:lpstr>
      <vt:lpstr>TicketInfo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Bess Hambleton</cp:lastModifiedBy>
  <dcterms:created xsi:type="dcterms:W3CDTF">2026-04-13T15:04:22Z</dcterms:created>
  <dcterms:modified xsi:type="dcterms:W3CDTF">2026-04-13T16:53:31Z</dcterms:modified>
</cp:coreProperties>
</file>